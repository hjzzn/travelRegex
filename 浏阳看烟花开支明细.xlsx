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30" windowWidth="28035" windowHeight="11895"/>
  </bookViews>
  <sheets>
    <sheet name="Sheet1" sheetId="1" r:id="rId1"/>
    <sheet name="Sheet2" sheetId="2" r:id="rId2"/>
    <sheet name="Sheet3" sheetId="3" r:id="rId3"/>
  </sheets>
  <definedNames>
    <definedName name="out_浏阳烟花" localSheetId="0">Sheet1!$B$2:$F$19</definedName>
  </definedNames>
  <calcPr calcId="144525"/>
</workbook>
</file>

<file path=xl/calcChain.xml><?xml version="1.0" encoding="utf-8"?>
<calcChain xmlns="http://schemas.openxmlformats.org/spreadsheetml/2006/main">
  <c r="G20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3" i="1"/>
  <c r="D20" i="1"/>
</calcChain>
</file>

<file path=xl/connections.xml><?xml version="1.0" encoding="utf-8"?>
<connections xmlns="http://schemas.openxmlformats.org/spreadsheetml/2006/main">
  <connection id="1" name="out_浏阳烟花" type="6" refreshedVersion="4" background="1" saveData="1">
    <textPr codePage="65001" sourceFile="D:\gitrepo\travelRegex\out_浏阳烟花.txt" tab="0" delimiter="!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<sst xmlns="http://schemas.openxmlformats.org/spreadsheetml/2006/main" count="44" uniqueCount="38">
  <si>
    <t>金额</t>
  </si>
  <si>
    <t>类别</t>
  </si>
  <si>
    <t>补贴用车费</t>
  </si>
  <si>
    <t>每天200元，按两天计算，用车补贴400元。</t>
  </si>
  <si>
    <t>加油</t>
  </si>
  <si>
    <t>过路费</t>
  </si>
  <si>
    <t>充电</t>
  </si>
  <si>
    <t>益阳集贸市场充电费</t>
  </si>
  <si>
    <t>停车费</t>
  </si>
  <si>
    <t>桃江竹海停车费</t>
  </si>
  <si>
    <t>午餐</t>
  </si>
  <si>
    <t>在益阳吃粉，炒饭等</t>
  </si>
  <si>
    <t>游览车</t>
  </si>
  <si>
    <t>桃江竹海景区电瓶车</t>
  </si>
  <si>
    <t>浏阳到益阳</t>
  </si>
  <si>
    <t>娱乐</t>
  </si>
  <si>
    <t>浏阳烟花表演票，每人138元，优惠2元。</t>
  </si>
  <si>
    <t>打车</t>
  </si>
  <si>
    <t>住宿</t>
  </si>
  <si>
    <t>长沙到浏阳</t>
  </si>
  <si>
    <t>晚餐</t>
  </si>
  <si>
    <t>土萝卜餐馆</t>
  </si>
  <si>
    <t>时间</t>
    <phoneticPr fontId="1" type="noConversion"/>
  </si>
  <si>
    <t>日期</t>
    <phoneticPr fontId="1" type="noConversion"/>
  </si>
  <si>
    <t>从益阳到武汉</t>
    <phoneticPr fontId="1" type="noConversion"/>
  </si>
  <si>
    <t>在浏阳市充电</t>
    <phoneticPr fontId="1" type="noConversion"/>
  </si>
  <si>
    <t>序号</t>
    <phoneticPr fontId="1" type="noConversion"/>
  </si>
  <si>
    <t>合计</t>
    <phoneticPr fontId="1" type="noConversion"/>
  </si>
  <si>
    <t>浏阳看烟花开支清单</t>
    <phoneticPr fontId="1" type="noConversion"/>
  </si>
  <si>
    <t>乡村第一餐</t>
    <phoneticPr fontId="1" type="noConversion"/>
  </si>
  <si>
    <t>备注</t>
    <phoneticPr fontId="1" type="noConversion"/>
  </si>
  <si>
    <t>4人平均
分摊费用</t>
    <phoneticPr fontId="1" type="noConversion"/>
  </si>
  <si>
    <t>武汉到湖南长沙</t>
    <phoneticPr fontId="1" type="noConversion"/>
  </si>
  <si>
    <t>浏阳市维也纳酒店</t>
    <phoneticPr fontId="1" type="noConversion"/>
  </si>
  <si>
    <t>长沙市丽枫酒店中信广场店</t>
    <phoneticPr fontId="1" type="noConversion"/>
  </si>
  <si>
    <t>到浏阳天空剧院看烟花的来回的士费</t>
    <phoneticPr fontId="1" type="noConversion"/>
  </si>
  <si>
    <t>补偿全程汽油费用</t>
    <phoneticPr fontId="1" type="noConversion"/>
  </si>
  <si>
    <t xml:space="preserve">   收入4000元，支出3530.20元，4人平均分摊，每人分摊882.55元，剩余469.80元，
   每人退 117.45元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</si>
</sst>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  <font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sz val="14"/>
      <color theme="1"/>
      <name val="宋体"/>
      <family val="2"/>
      <charset val="134"/>
      <scheme val="minor"/>
    </font>
    <font>
      <sz val="18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5" fillId="0" borderId="1" xfId="0" applyFont="1" applyBorder="1">
      <alignment vertical="center"/>
    </xf>
    <xf numFmtId="58" fontId="5" fillId="0" borderId="1" xfId="0" applyNumberFormat="1" applyFont="1" applyBorder="1">
      <alignment vertical="center"/>
    </xf>
    <xf numFmtId="20" fontId="5" fillId="0" borderId="1" xfId="0" applyNumberFormat="1" applyFont="1" applyBorder="1">
      <alignment vertical="center"/>
    </xf>
    <xf numFmtId="176" fontId="5" fillId="0" borderId="1" xfId="0" applyNumberFormat="1" applyFont="1" applyBorder="1">
      <alignment vertical="center"/>
    </xf>
    <xf numFmtId="176" fontId="7" fillId="0" borderId="1" xfId="0" applyNumberFormat="1" applyFont="1" applyBorder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176" fontId="8" fillId="0" borderId="1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out_浏阳烟花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tabSelected="1" workbookViewId="0">
      <selection sqref="A1:G21"/>
    </sheetView>
  </sheetViews>
  <sheetFormatPr defaultRowHeight="13.5" x14ac:dyDescent="0.15"/>
  <cols>
    <col min="1" max="1" width="9.125" bestFit="1" customWidth="1"/>
    <col min="2" max="2" width="10.25" bestFit="1" customWidth="1"/>
    <col min="3" max="3" width="8" bestFit="1" customWidth="1"/>
    <col min="4" max="4" width="14.125" style="1" bestFit="1" customWidth="1"/>
    <col min="5" max="5" width="15.25" customWidth="1"/>
    <col min="6" max="6" width="50.375" customWidth="1"/>
    <col min="7" max="7" width="22" customWidth="1"/>
  </cols>
  <sheetData>
    <row r="1" spans="1:7" ht="33" customHeight="1" x14ac:dyDescent="0.15">
      <c r="A1" s="17" t="s">
        <v>28</v>
      </c>
      <c r="B1" s="17"/>
      <c r="C1" s="17"/>
      <c r="D1" s="17"/>
      <c r="E1" s="17"/>
      <c r="F1" s="17"/>
      <c r="G1" s="17"/>
    </row>
    <row r="2" spans="1:7" ht="34.5" customHeight="1" x14ac:dyDescent="0.15">
      <c r="A2" s="13" t="s">
        <v>26</v>
      </c>
      <c r="B2" s="13" t="s">
        <v>23</v>
      </c>
      <c r="C2" s="13" t="s">
        <v>22</v>
      </c>
      <c r="D2" s="14" t="s">
        <v>0</v>
      </c>
      <c r="E2" s="13" t="s">
        <v>1</v>
      </c>
      <c r="F2" s="13" t="s">
        <v>30</v>
      </c>
      <c r="G2" s="12" t="s">
        <v>31</v>
      </c>
    </row>
    <row r="3" spans="1:7" ht="18.75" x14ac:dyDescent="0.15">
      <c r="A3" s="2">
        <v>1</v>
      </c>
      <c r="B3" s="3">
        <v>46129</v>
      </c>
      <c r="C3" s="4">
        <v>0.58472222222222225</v>
      </c>
      <c r="D3" s="5">
        <v>158</v>
      </c>
      <c r="E3" s="2" t="s">
        <v>5</v>
      </c>
      <c r="F3" s="2" t="s">
        <v>32</v>
      </c>
      <c r="G3" s="5">
        <f>D3/4</f>
        <v>39.5</v>
      </c>
    </row>
    <row r="4" spans="1:7" ht="18.75" x14ac:dyDescent="0.15">
      <c r="A4" s="2">
        <v>2</v>
      </c>
      <c r="B4" s="3">
        <v>46129</v>
      </c>
      <c r="C4" s="4">
        <v>0.65625</v>
      </c>
      <c r="D4" s="5">
        <v>490</v>
      </c>
      <c r="E4" s="2" t="s">
        <v>18</v>
      </c>
      <c r="F4" s="2" t="s">
        <v>34</v>
      </c>
      <c r="G4" s="5">
        <f t="shared" ref="G4:G19" si="0">D4/4</f>
        <v>122.5</v>
      </c>
    </row>
    <row r="5" spans="1:7" ht="18.75" x14ac:dyDescent="0.15">
      <c r="A5" s="2">
        <v>3</v>
      </c>
      <c r="B5" s="3">
        <v>46129</v>
      </c>
      <c r="C5" s="4">
        <v>0.66805555555555562</v>
      </c>
      <c r="D5" s="5">
        <v>258.2</v>
      </c>
      <c r="E5" s="2" t="s">
        <v>20</v>
      </c>
      <c r="F5" s="2" t="s">
        <v>21</v>
      </c>
      <c r="G5" s="5">
        <f t="shared" si="0"/>
        <v>64.55</v>
      </c>
    </row>
    <row r="6" spans="1:7" ht="18.75" x14ac:dyDescent="0.15">
      <c r="A6" s="2">
        <v>5</v>
      </c>
      <c r="B6" s="3">
        <v>46130</v>
      </c>
      <c r="C6" s="4">
        <v>0.50555555555555554</v>
      </c>
      <c r="D6" s="5">
        <v>26</v>
      </c>
      <c r="E6" s="2" t="s">
        <v>5</v>
      </c>
      <c r="F6" s="2" t="s">
        <v>19</v>
      </c>
      <c r="G6" s="5">
        <f t="shared" si="0"/>
        <v>6.5</v>
      </c>
    </row>
    <row r="7" spans="1:7" ht="18.75" x14ac:dyDescent="0.15">
      <c r="A7" s="2">
        <v>6</v>
      </c>
      <c r="B7" s="3">
        <v>46130</v>
      </c>
      <c r="C7" s="4">
        <v>0.60902777777777783</v>
      </c>
      <c r="D7" s="5">
        <v>203</v>
      </c>
      <c r="E7" s="2" t="s">
        <v>10</v>
      </c>
      <c r="F7" s="2" t="s">
        <v>29</v>
      </c>
      <c r="G7" s="5">
        <f t="shared" si="0"/>
        <v>50.75</v>
      </c>
    </row>
    <row r="8" spans="1:7" ht="18.75" x14ac:dyDescent="0.15">
      <c r="A8" s="2">
        <v>7</v>
      </c>
      <c r="B8" s="3">
        <v>46130</v>
      </c>
      <c r="C8" s="4">
        <v>0.73958333333333337</v>
      </c>
      <c r="D8" s="5">
        <v>562</v>
      </c>
      <c r="E8" s="2" t="s">
        <v>18</v>
      </c>
      <c r="F8" s="2" t="s">
        <v>33</v>
      </c>
      <c r="G8" s="5">
        <f t="shared" si="0"/>
        <v>140.5</v>
      </c>
    </row>
    <row r="9" spans="1:7" ht="18.75" x14ac:dyDescent="0.15">
      <c r="A9" s="2">
        <v>8</v>
      </c>
      <c r="B9" s="3">
        <v>46130</v>
      </c>
      <c r="C9" s="4">
        <v>0.79513888888888884</v>
      </c>
      <c r="D9" s="5">
        <v>31</v>
      </c>
      <c r="E9" s="2" t="s">
        <v>17</v>
      </c>
      <c r="F9" s="2" t="s">
        <v>35</v>
      </c>
      <c r="G9" s="5">
        <f t="shared" si="0"/>
        <v>7.75</v>
      </c>
    </row>
    <row r="10" spans="1:7" ht="18.75" x14ac:dyDescent="0.15">
      <c r="A10" s="2">
        <v>9</v>
      </c>
      <c r="B10" s="3">
        <v>46130</v>
      </c>
      <c r="C10" s="4">
        <v>0.8041666666666667</v>
      </c>
      <c r="D10" s="5">
        <v>550</v>
      </c>
      <c r="E10" s="2" t="s">
        <v>15</v>
      </c>
      <c r="F10" s="2" t="s">
        <v>16</v>
      </c>
      <c r="G10" s="5">
        <f t="shared" si="0"/>
        <v>137.5</v>
      </c>
    </row>
    <row r="11" spans="1:7" ht="18.75" x14ac:dyDescent="0.15">
      <c r="A11" s="2">
        <v>10</v>
      </c>
      <c r="B11" s="3">
        <v>46130</v>
      </c>
      <c r="C11" s="4">
        <v>0.89583333333333337</v>
      </c>
      <c r="D11" s="5">
        <v>23</v>
      </c>
      <c r="E11" s="2" t="s">
        <v>6</v>
      </c>
      <c r="F11" s="2" t="s">
        <v>25</v>
      </c>
      <c r="G11" s="5">
        <f t="shared" si="0"/>
        <v>5.75</v>
      </c>
    </row>
    <row r="12" spans="1:7" ht="18.75" x14ac:dyDescent="0.15">
      <c r="A12" s="2">
        <v>11</v>
      </c>
      <c r="B12" s="3">
        <v>46131</v>
      </c>
      <c r="C12" s="4">
        <v>0.48333333333333334</v>
      </c>
      <c r="D12" s="5">
        <v>47</v>
      </c>
      <c r="E12" s="2" t="s">
        <v>5</v>
      </c>
      <c r="F12" s="2" t="s">
        <v>14</v>
      </c>
      <c r="G12" s="5">
        <f t="shared" si="0"/>
        <v>11.75</v>
      </c>
    </row>
    <row r="13" spans="1:7" ht="18.75" x14ac:dyDescent="0.15">
      <c r="A13" s="2">
        <v>12</v>
      </c>
      <c r="B13" s="3">
        <v>46131</v>
      </c>
      <c r="C13" s="4">
        <v>0.5083333333333333</v>
      </c>
      <c r="D13" s="5">
        <v>120</v>
      </c>
      <c r="E13" s="2" t="s">
        <v>12</v>
      </c>
      <c r="F13" s="2" t="s">
        <v>13</v>
      </c>
      <c r="G13" s="5">
        <f t="shared" si="0"/>
        <v>30</v>
      </c>
    </row>
    <row r="14" spans="1:7" ht="18.75" x14ac:dyDescent="0.15">
      <c r="A14" s="2">
        <v>14</v>
      </c>
      <c r="B14" s="3">
        <v>46131</v>
      </c>
      <c r="C14" s="4">
        <v>0.58958333333333335</v>
      </c>
      <c r="D14" s="5">
        <v>5</v>
      </c>
      <c r="E14" s="2" t="s">
        <v>8</v>
      </c>
      <c r="F14" s="2" t="s">
        <v>9</v>
      </c>
      <c r="G14" s="5">
        <f t="shared" si="0"/>
        <v>1.25</v>
      </c>
    </row>
    <row r="15" spans="1:7" ht="18.75" x14ac:dyDescent="0.15">
      <c r="A15" s="2">
        <v>13</v>
      </c>
      <c r="B15" s="3">
        <v>46131</v>
      </c>
      <c r="C15" s="4">
        <v>0.59722222222222221</v>
      </c>
      <c r="D15" s="5">
        <v>36</v>
      </c>
      <c r="E15" s="2" t="s">
        <v>10</v>
      </c>
      <c r="F15" s="2" t="s">
        <v>11</v>
      </c>
      <c r="G15" s="5">
        <f t="shared" si="0"/>
        <v>9</v>
      </c>
    </row>
    <row r="16" spans="1:7" ht="18.75" x14ac:dyDescent="0.15">
      <c r="A16" s="2">
        <v>15</v>
      </c>
      <c r="B16" s="3">
        <v>46131</v>
      </c>
      <c r="C16" s="4">
        <v>0.61458333333333337</v>
      </c>
      <c r="D16" s="5">
        <v>20</v>
      </c>
      <c r="E16" s="2" t="s">
        <v>6</v>
      </c>
      <c r="F16" s="2" t="s">
        <v>7</v>
      </c>
      <c r="G16" s="5">
        <f t="shared" si="0"/>
        <v>5</v>
      </c>
    </row>
    <row r="17" spans="1:7" ht="18.75" x14ac:dyDescent="0.15">
      <c r="A17" s="2">
        <v>16</v>
      </c>
      <c r="B17" s="3">
        <v>46131</v>
      </c>
      <c r="C17" s="4">
        <v>0.89444444444444438</v>
      </c>
      <c r="D17" s="5">
        <v>189</v>
      </c>
      <c r="E17" s="2" t="s">
        <v>5</v>
      </c>
      <c r="F17" s="2" t="s">
        <v>24</v>
      </c>
      <c r="G17" s="5">
        <f t="shared" si="0"/>
        <v>47.25</v>
      </c>
    </row>
    <row r="18" spans="1:7" ht="18.75" x14ac:dyDescent="0.15">
      <c r="A18" s="2">
        <v>17</v>
      </c>
      <c r="B18" s="3">
        <v>46131</v>
      </c>
      <c r="C18" s="4">
        <v>0.89444444444444438</v>
      </c>
      <c r="D18" s="5">
        <v>412</v>
      </c>
      <c r="E18" s="2" t="s">
        <v>4</v>
      </c>
      <c r="F18" s="2" t="s">
        <v>36</v>
      </c>
      <c r="G18" s="5">
        <f t="shared" si="0"/>
        <v>103</v>
      </c>
    </row>
    <row r="19" spans="1:7" ht="18.75" x14ac:dyDescent="0.15">
      <c r="A19" s="2">
        <v>18</v>
      </c>
      <c r="B19" s="3">
        <v>46131</v>
      </c>
      <c r="C19" s="4">
        <v>0.89513888888888893</v>
      </c>
      <c r="D19" s="5">
        <v>400</v>
      </c>
      <c r="E19" s="2" t="s">
        <v>2</v>
      </c>
      <c r="F19" s="2" t="s">
        <v>3</v>
      </c>
      <c r="G19" s="5">
        <f t="shared" si="0"/>
        <v>100</v>
      </c>
    </row>
    <row r="20" spans="1:7" ht="26.25" customHeight="1" x14ac:dyDescent="0.15">
      <c r="A20" s="7" t="s">
        <v>27</v>
      </c>
      <c r="B20" s="8"/>
      <c r="C20" s="9"/>
      <c r="D20" s="10">
        <f>SUM(D3:D19)</f>
        <v>3530.2</v>
      </c>
      <c r="E20" s="11"/>
      <c r="F20" s="11"/>
      <c r="G20" s="6">
        <f>SUM(G3:G19)</f>
        <v>882.55</v>
      </c>
    </row>
    <row r="21" spans="1:7" ht="61.5" customHeight="1" x14ac:dyDescent="0.15">
      <c r="A21" s="15" t="s">
        <v>37</v>
      </c>
      <c r="B21" s="16"/>
      <c r="C21" s="16"/>
      <c r="D21" s="16"/>
      <c r="E21" s="16"/>
      <c r="F21" s="16"/>
      <c r="G21" s="16"/>
    </row>
    <row r="22" spans="1:7" ht="41.25" customHeight="1" x14ac:dyDescent="0.15"/>
  </sheetData>
  <mergeCells count="3">
    <mergeCell ref="A20:C20"/>
    <mergeCell ref="A21:G21"/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Sheet1!out_浏阳烟花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</dc:creator>
  <cp:lastModifiedBy>jenny</cp:lastModifiedBy>
  <dcterms:created xsi:type="dcterms:W3CDTF">2026-04-21T14:20:42Z</dcterms:created>
  <dcterms:modified xsi:type="dcterms:W3CDTF">2026-04-21T14:44:18Z</dcterms:modified>
</cp:coreProperties>
</file>